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Petite Attention" sheetId="2" state="visible" r:id="rId4"/>
    <sheet name="Coffret Amour" sheetId="3" state="visible" r:id="rId5"/>
    <sheet name="Coffret Prestige" sheetId="4" state="visible" r:id="rId6"/>
    <sheet name="Réca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8" authorId="0">
      <text>
        <r>
          <rPr>
            <sz val="10"/>
            <rFont val="Arial"/>
            <family val="2"/>
          </rPr>
          <t xml:space="preserve">Prix affiché sur les visuels. Modifiez-le pour tester.</t>
        </r>
      </text>
    </comment>
    <comment ref="E22" authorId="0">
      <text>
        <r>
          <rPr>
            <sz val="10"/>
            <rFont val="Arial"/>
            <family val="2"/>
          </rPr>
          <t xml:space="preserve">Repère conseillé : entre 1,8 et 2.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8" authorId="0">
      <text>
        <r>
          <rPr>
            <sz val="10"/>
            <rFont val="Arial"/>
            <family val="2"/>
          </rPr>
          <t xml:space="preserve">Prix affiché sur les visuels. Modifiez-le pour tester.</t>
        </r>
      </text>
    </comment>
    <comment ref="E22" authorId="0">
      <text>
        <r>
          <rPr>
            <sz val="10"/>
            <rFont val="Arial"/>
            <family val="2"/>
          </rPr>
          <t xml:space="preserve">Repère conseillé : entre 1,8 et 2.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9" authorId="0">
      <text>
        <r>
          <rPr>
            <sz val="10"/>
            <rFont val="Arial"/>
            <family val="2"/>
          </rPr>
          <t xml:space="preserve">Prix affiché sur les visuels. Modifiez-le pour tester.</t>
        </r>
      </text>
    </comment>
    <comment ref="E23" authorId="0">
      <text>
        <r>
          <rPr>
            <sz val="10"/>
            <rFont val="Arial"/>
            <family val="2"/>
          </rPr>
          <t xml:space="preserve">Repère conseillé : entre 1,8 et 2.</t>
        </r>
      </text>
    </comment>
  </commentList>
</comments>
</file>

<file path=xl/sharedStrings.xml><?xml version="1.0" encoding="utf-8"?>
<sst xmlns="http://schemas.openxmlformats.org/spreadsheetml/2006/main" count="130" uniqueCount="74">
  <si>
    <t xml:space="preserve">Cotonou Box · Saint-Valentin 2027 — Calcul des coûts et des prix</t>
  </si>
  <si>
    <t xml:space="preserve">Comment l'utiliser</t>
  </si>
  <si>
    <t xml:space="preserve">1. Dans chaque onglet de coffret, remplacez les montants en BLEU sur fond jaune par vos vrais prix d'achat.</t>
  </si>
  <si>
    <t xml:space="preserve">2. Les montants déjà saisis sont des EXEMPLES (estimations) pour montrer le format : ils ne sont pas des prix réels.</t>
  </si>
  <si>
    <t xml:space="preserve">3. Tout le reste (en noir) se calcule tout seul : coût total, marge, prix conseillé.</t>
  </si>
  <si>
    <t xml:space="preserve">4. Dans l'onglet « Récap », indiquez combien de coffrets vous pensez vendre : vous voyez le budget d'achat et le bénéfice.</t>
  </si>
  <si>
    <t xml:space="preserve">Repères</t>
  </si>
  <si>
    <t xml:space="preserve">• Coefficient = prix de vente ÷ coût. Visez au moins 1,8 à 2 (le prix couvre le coût + votre travail + les imprévus).</t>
  </si>
  <si>
    <t xml:space="preserve">• Marge = ce qu'il vous reste par coffret, avant votre temps de travail.</t>
  </si>
  <si>
    <t xml:space="preserve">• Pensez au transport France → Bénin et à la douane si vous achetez des produits en France.</t>
  </si>
  <si>
    <t xml:space="preserve">Légende</t>
  </si>
  <si>
    <t xml:space="preserve">Texte bleu sur fond jaune = à remplir · Texte noir = calculé automatiquement</t>
  </si>
  <si>
    <t xml:space="preserve">Petite Attention — Saint-Valentin 2027</t>
  </si>
  <si>
    <t xml:space="preserve">Montants en bleu = exemples à remplacer par vos vrais prix d'achat.</t>
  </si>
  <si>
    <t xml:space="preserve">Article</t>
  </si>
  <si>
    <t xml:space="preserve">Exemple / où l’acheter</t>
  </si>
  <si>
    <t xml:space="preserve">Coût unitaire</t>
  </si>
  <si>
    <t xml:space="preserve">Quantité</t>
  </si>
  <si>
    <t xml:space="preserve">Total</t>
  </si>
  <si>
    <t xml:space="preserve">Contenu du coffret</t>
  </si>
  <si>
    <t xml:space="preserve">Une douceur</t>
  </si>
  <si>
    <t xml:space="preserve">Chocolats ou friandises</t>
  </si>
  <si>
    <t xml:space="preserve">Un mini soin</t>
  </si>
  <si>
    <t xml:space="preserve">Baume à lèvres, mini crème</t>
  </si>
  <si>
    <t xml:space="preserve">Une bougie</t>
  </si>
  <si>
    <t xml:space="preserve">Petite bougie parfumée</t>
  </si>
  <si>
    <t xml:space="preserve">Emballage et frais</t>
  </si>
  <si>
    <t xml:space="preserve">Boîte cadeau</t>
  </si>
  <si>
    <t xml:space="preserve">Boîte rigide avec couvercle</t>
  </si>
  <si>
    <t xml:space="preserve">Ruban, papier de soie</t>
  </si>
  <si>
    <t xml:space="preserve">Ruban satin + papier</t>
  </si>
  <si>
    <t xml:space="preserve">Décor (pétales, cœur…)</t>
  </si>
  <si>
    <t xml:space="preserve">Pétales séchés, autocollant cœur</t>
  </si>
  <si>
    <t xml:space="preserve">Carte écrite à la main</t>
  </si>
  <si>
    <t xml:space="preserve">Carte + enveloppe</t>
  </si>
  <si>
    <t xml:space="preserve">Transport France → Bénin / douane</t>
  </si>
  <si>
    <t xml:space="preserve">Par coffret (0 si tout est acheté au Bénin)</t>
  </si>
  <si>
    <t xml:space="preserve">Livraison au client (si offerte)</t>
  </si>
  <si>
    <t xml:space="preserve">0 si le client la paie à part</t>
  </si>
  <si>
    <t xml:space="preserve">Coût total par coffret</t>
  </si>
  <si>
    <t xml:space="preserve">Prix de vente</t>
  </si>
  <si>
    <t xml:space="preserve">Marge par coffret</t>
  </si>
  <si>
    <t xml:space="preserve">Marge en %</t>
  </si>
  <si>
    <t xml:space="preserve">Coefficient (prix ÷ coût)</t>
  </si>
  <si>
    <t xml:space="preserve">Coefficient visé</t>
  </si>
  <si>
    <t xml:space="preserve">Prix conseillé (coût × coefficient visé)</t>
  </si>
  <si>
    <t xml:space="preserve">Coffret Amour — Saint-Valentin 2027</t>
  </si>
  <si>
    <t xml:space="preserve">Des douceurs</t>
  </si>
  <si>
    <t xml:space="preserve">Chocolats, biscuits</t>
  </si>
  <si>
    <t xml:space="preserve">Un soin de grande maison</t>
  </si>
  <si>
    <t xml:space="preserve">Mini Rituals / Yves Rocher</t>
  </si>
  <si>
    <t xml:space="preserve">Une création artisanale</t>
  </si>
  <si>
    <t xml:space="preserve">Bracelet en perles, porte-clés</t>
  </si>
  <si>
    <t xml:space="preserve">Coffret Prestige — Saint-Valentin 2027</t>
  </si>
  <si>
    <t xml:space="preserve">Un coffret de soins de luxe</t>
  </si>
  <si>
    <t xml:space="preserve">Coffret cadeau Rituals</t>
  </si>
  <si>
    <t xml:space="preserve">Un parfum</t>
  </si>
  <si>
    <t xml:space="preserve">Mini parfum / brume Sephora</t>
  </si>
  <si>
    <t xml:space="preserve">Un bijou d’artisan</t>
  </si>
  <si>
    <t xml:space="preserve">Bijou en laiton ou perles</t>
  </si>
  <si>
    <t xml:space="preserve">Des douceurs fines</t>
  </si>
  <si>
    <t xml:space="preserve">Chocolats fins</t>
  </si>
  <si>
    <t xml:space="preserve">Récapitulatif — Saint-Valentin 2027</t>
  </si>
  <si>
    <t xml:space="preserve">Coffret</t>
  </si>
  <si>
    <t xml:space="preserve">Coût</t>
  </si>
  <si>
    <t xml:space="preserve">Marge / coffret</t>
  </si>
  <si>
    <t xml:space="preserve">Coffrets prévus</t>
  </si>
  <si>
    <t xml:space="preserve">Budget d’achat</t>
  </si>
  <si>
    <t xml:space="preserve">Chiffre d’affaires</t>
  </si>
  <si>
    <t xml:space="preserve">Bénéfice</t>
  </si>
  <si>
    <t xml:space="preserve">Petite Attention</t>
  </si>
  <si>
    <t xml:space="preserve">Coffret Amour</t>
  </si>
  <si>
    <t xml:space="preserve">Coffret Prestige</t>
  </si>
  <si>
    <t xml:space="preserve">« Coffrets prévus » (en bleu) : remplacez 10 par votre estimation. Le budget d'achat est ce qu'il faut avancer si vous achetez tout avant les commandes.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</si>
</sst>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FCFA&quot;;\-#,##0&quot; FCFA&quot;;\-"/>
    <numFmt numFmtId="166" formatCode="0.0%;\-0.0%;\-"/>
    <numFmt numFmtId="167" formatCode="0.00\x"/>
    <numFmt numFmtId="168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E102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6E3E1"/>
      </patternFill>
    </fill>
    <fill>
      <patternFill patternType="solid">
        <fgColor rgb="FF5E1023"/>
        <bgColor rgb="FF800000"/>
      </patternFill>
    </fill>
    <fill>
      <patternFill patternType="solid">
        <fgColor rgb="FFF6E3E1"/>
        <bgColor rgb="FFFFF2CC"/>
      </patternFill>
    </fill>
    <fill>
      <patternFill patternType="solid">
        <fgColor rgb="FFEAD7A8"/>
        <bgColor rgb="FFD9C4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4C0"/>
      </left>
      <right style="thin">
        <color rgb="FFD9C4C0"/>
      </right>
      <top style="thin">
        <color rgb="FFD9C4C0"/>
      </top>
      <bottom style="thin">
        <color rgb="FFD9C4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E1023"/>
      <rgbColor rgb="FF008000"/>
      <rgbColor rgb="FF000080"/>
      <rgbColor rgb="FF808000"/>
      <rgbColor rgb="FF800080"/>
      <rgbColor rgb="FF008080"/>
      <rgbColor rgb="FFD9C4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F6E3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D7A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5" min="3" style="0" width="18"/>
  </cols>
  <sheetData>
    <row r="1" customFormat="false" ht="19.7" hidden="false" customHeight="false" outlineLevel="0" collapsed="false">
      <c r="A1" s="1" t="s">
        <v>12</v>
      </c>
    </row>
    <row r="2" customFormat="false" ht="15" hidden="false" customHeight="false" outlineLevel="0" collapsed="false">
      <c r="A2" s="5" t="s">
        <v>13</v>
      </c>
    </row>
    <row r="4" customFormat="false" ht="15" hidden="false" customHeight="false" outlineLevel="0" collapsed="false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</row>
    <row r="5" customFormat="false" ht="15" hidden="false" customHeight="false" outlineLevel="0" collapsed="false">
      <c r="A5" s="7" t="s">
        <v>19</v>
      </c>
      <c r="B5" s="8"/>
      <c r="C5" s="8"/>
      <c r="D5" s="8"/>
      <c r="E5" s="8"/>
    </row>
    <row r="6" customFormat="false" ht="15" hidden="false" customHeight="false" outlineLevel="0" collapsed="false">
      <c r="A6" s="9" t="s">
        <v>20</v>
      </c>
      <c r="B6" s="10" t="s">
        <v>21</v>
      </c>
      <c r="C6" s="11" t="n">
        <v>2500</v>
      </c>
      <c r="D6" s="12" t="n">
        <v>1</v>
      </c>
      <c r="E6" s="13" t="n">
        <f aca="false">C6*D6</f>
        <v>2500</v>
      </c>
    </row>
    <row r="7" customFormat="false" ht="15" hidden="false" customHeight="false" outlineLevel="0" collapsed="false">
      <c r="A7" s="9" t="s">
        <v>22</v>
      </c>
      <c r="B7" s="10" t="s">
        <v>23</v>
      </c>
      <c r="C7" s="11" t="n">
        <v>2000</v>
      </c>
      <c r="D7" s="12" t="n">
        <v>1</v>
      </c>
      <c r="E7" s="13" t="n">
        <f aca="false">C7*D7</f>
        <v>2000</v>
      </c>
    </row>
    <row r="8" customFormat="false" ht="15" hidden="false" customHeight="false" outlineLevel="0" collapsed="false">
      <c r="A8" s="9" t="s">
        <v>24</v>
      </c>
      <c r="B8" s="10" t="s">
        <v>25</v>
      </c>
      <c r="C8" s="11" t="n">
        <v>2000</v>
      </c>
      <c r="D8" s="12" t="n">
        <v>1</v>
      </c>
      <c r="E8" s="13" t="n">
        <f aca="false">C8*D8</f>
        <v>2000</v>
      </c>
    </row>
    <row r="9" customFormat="false" ht="15" hidden="false" customHeight="false" outlineLevel="0" collapsed="false">
      <c r="A9" s="7" t="s">
        <v>26</v>
      </c>
      <c r="B9" s="8"/>
      <c r="C9" s="8"/>
      <c r="D9" s="8"/>
      <c r="E9" s="8"/>
    </row>
    <row r="10" customFormat="false" ht="15" hidden="false" customHeight="false" outlineLevel="0" collapsed="false">
      <c r="A10" s="9" t="s">
        <v>27</v>
      </c>
      <c r="B10" s="10" t="s">
        <v>28</v>
      </c>
      <c r="C10" s="11" t="n">
        <v>1500</v>
      </c>
      <c r="D10" s="12" t="n">
        <v>1</v>
      </c>
      <c r="E10" s="13" t="n">
        <f aca="false">C10*D10</f>
        <v>1500</v>
      </c>
    </row>
    <row r="11" customFormat="false" ht="15" hidden="false" customHeight="false" outlineLevel="0" collapsed="false">
      <c r="A11" s="9" t="s">
        <v>29</v>
      </c>
      <c r="B11" s="10" t="s">
        <v>30</v>
      </c>
      <c r="C11" s="11" t="n">
        <v>500</v>
      </c>
      <c r="D11" s="12" t="n">
        <v>1</v>
      </c>
      <c r="E11" s="13" t="n">
        <f aca="false">C11*D11</f>
        <v>500</v>
      </c>
    </row>
    <row r="12" customFormat="false" ht="15" hidden="false" customHeight="false" outlineLevel="0" collapsed="false">
      <c r="A12" s="9" t="s">
        <v>31</v>
      </c>
      <c r="B12" s="10" t="s">
        <v>32</v>
      </c>
      <c r="C12" s="11" t="n">
        <v>300</v>
      </c>
      <c r="D12" s="12" t="n">
        <v>1</v>
      </c>
      <c r="E12" s="13" t="n">
        <f aca="false">C12*D12</f>
        <v>300</v>
      </c>
    </row>
    <row r="13" customFormat="false" ht="15" hidden="false" customHeight="false" outlineLevel="0" collapsed="false">
      <c r="A13" s="9" t="s">
        <v>33</v>
      </c>
      <c r="B13" s="10" t="s">
        <v>34</v>
      </c>
      <c r="C13" s="11" t="n">
        <v>300</v>
      </c>
      <c r="D13" s="12" t="n">
        <v>1</v>
      </c>
      <c r="E13" s="13" t="n">
        <f aca="false">C13*D13</f>
        <v>300</v>
      </c>
    </row>
    <row r="14" customFormat="false" ht="15" hidden="false" customHeight="false" outlineLevel="0" collapsed="false">
      <c r="A14" s="9" t="s">
        <v>35</v>
      </c>
      <c r="B14" s="10" t="s">
        <v>36</v>
      </c>
      <c r="C14" s="11" t="n">
        <v>0</v>
      </c>
      <c r="D14" s="12" t="n">
        <v>1</v>
      </c>
      <c r="E14" s="13" t="n">
        <f aca="false">C14*D14</f>
        <v>0</v>
      </c>
    </row>
    <row r="15" customFormat="false" ht="15" hidden="false" customHeight="false" outlineLevel="0" collapsed="false">
      <c r="A15" s="9" t="s">
        <v>37</v>
      </c>
      <c r="B15" s="10" t="s">
        <v>38</v>
      </c>
      <c r="C15" s="11" t="n">
        <v>0</v>
      </c>
      <c r="D15" s="12" t="n">
        <v>1</v>
      </c>
      <c r="E15" s="13" t="n">
        <f aca="false">C15*D15</f>
        <v>0</v>
      </c>
    </row>
    <row r="17" customFormat="false" ht="15" hidden="false" customHeight="false" outlineLevel="0" collapsed="false">
      <c r="A17" s="14" t="s">
        <v>39</v>
      </c>
      <c r="B17" s="15"/>
      <c r="C17" s="15"/>
      <c r="D17" s="15"/>
      <c r="E17" s="16" t="n">
        <f aca="false">SUM(E6:E8)+SUM(E10:E15)</f>
        <v>9100</v>
      </c>
    </row>
    <row r="18" customFormat="false" ht="15" hidden="false" customHeight="false" outlineLevel="0" collapsed="false">
      <c r="A18" s="2" t="s">
        <v>40</v>
      </c>
      <c r="E18" s="17" t="n">
        <v>15000</v>
      </c>
    </row>
    <row r="19" customFormat="false" ht="15" hidden="false" customHeight="false" outlineLevel="0" collapsed="false">
      <c r="A19" s="3" t="s">
        <v>41</v>
      </c>
      <c r="E19" s="18" t="n">
        <f aca="false">E18-E17</f>
        <v>5900</v>
      </c>
    </row>
    <row r="20" customFormat="false" ht="15" hidden="false" customHeight="false" outlineLevel="0" collapsed="false">
      <c r="A20" s="2" t="s">
        <v>42</v>
      </c>
      <c r="E20" s="19" t="n">
        <f aca="false">IF(E18=0,0,E19/E18)</f>
        <v>0.393333333333333</v>
      </c>
    </row>
    <row r="21" customFormat="false" ht="15" hidden="false" customHeight="false" outlineLevel="0" collapsed="false">
      <c r="A21" s="2" t="s">
        <v>43</v>
      </c>
      <c r="E21" s="20" t="n">
        <f aca="false">IF(E17=0,0,E18/E17)</f>
        <v>1.64835164835165</v>
      </c>
    </row>
    <row r="22" customFormat="false" ht="15" hidden="false" customHeight="false" outlineLevel="0" collapsed="false">
      <c r="A22" s="2" t="s">
        <v>44</v>
      </c>
      <c r="E22" s="21" t="n">
        <v>2</v>
      </c>
    </row>
    <row r="23" customFormat="false" ht="15" hidden="false" customHeight="false" outlineLevel="0" collapsed="false">
      <c r="A23" s="14" t="s">
        <v>45</v>
      </c>
      <c r="B23" s="15"/>
      <c r="C23" s="15"/>
      <c r="D23" s="15"/>
      <c r="E23" s="16" t="n">
        <f aca="false">ROUND(E17*E22,-3)</f>
        <v>18000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5" min="3" style="0" width="18"/>
  </cols>
  <sheetData>
    <row r="1" customFormat="false" ht="19.7" hidden="false" customHeight="false" outlineLevel="0" collapsed="false">
      <c r="A1" s="1" t="s">
        <v>46</v>
      </c>
    </row>
    <row r="2" customFormat="false" ht="15" hidden="false" customHeight="false" outlineLevel="0" collapsed="false">
      <c r="A2" s="5" t="s">
        <v>13</v>
      </c>
    </row>
    <row r="4" customFormat="false" ht="15" hidden="false" customHeight="false" outlineLevel="0" collapsed="false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</row>
    <row r="5" customFormat="false" ht="15" hidden="false" customHeight="false" outlineLevel="0" collapsed="false">
      <c r="A5" s="7" t="s">
        <v>19</v>
      </c>
      <c r="B5" s="8"/>
      <c r="C5" s="8"/>
      <c r="D5" s="8"/>
      <c r="E5" s="8"/>
    </row>
    <row r="6" customFormat="false" ht="15" hidden="false" customHeight="false" outlineLevel="0" collapsed="false">
      <c r="A6" s="9" t="s">
        <v>47</v>
      </c>
      <c r="B6" s="10" t="s">
        <v>48</v>
      </c>
      <c r="C6" s="11" t="n">
        <v>3500</v>
      </c>
      <c r="D6" s="12" t="n">
        <v>1</v>
      </c>
      <c r="E6" s="13" t="n">
        <f aca="false">C6*D6</f>
        <v>3500</v>
      </c>
    </row>
    <row r="7" customFormat="false" ht="15" hidden="false" customHeight="false" outlineLevel="0" collapsed="false">
      <c r="A7" s="9" t="s">
        <v>49</v>
      </c>
      <c r="B7" s="10" t="s">
        <v>50</v>
      </c>
      <c r="C7" s="11" t="n">
        <v>5000</v>
      </c>
      <c r="D7" s="12" t="n">
        <v>1</v>
      </c>
      <c r="E7" s="13" t="n">
        <f aca="false">C7*D7</f>
        <v>5000</v>
      </c>
    </row>
    <row r="8" customFormat="false" ht="15" hidden="false" customHeight="false" outlineLevel="0" collapsed="false">
      <c r="A8" s="9" t="s">
        <v>51</v>
      </c>
      <c r="B8" s="10" t="s">
        <v>52</v>
      </c>
      <c r="C8" s="11" t="n">
        <v>3000</v>
      </c>
      <c r="D8" s="12" t="n">
        <v>1</v>
      </c>
      <c r="E8" s="13" t="n">
        <f aca="false">C8*D8</f>
        <v>3000</v>
      </c>
    </row>
    <row r="9" customFormat="false" ht="15" hidden="false" customHeight="false" outlineLevel="0" collapsed="false">
      <c r="A9" s="7" t="s">
        <v>26</v>
      </c>
      <c r="B9" s="8"/>
      <c r="C9" s="8"/>
      <c r="D9" s="8"/>
      <c r="E9" s="8"/>
    </row>
    <row r="10" customFormat="false" ht="15" hidden="false" customHeight="false" outlineLevel="0" collapsed="false">
      <c r="A10" s="9" t="s">
        <v>27</v>
      </c>
      <c r="B10" s="10" t="s">
        <v>28</v>
      </c>
      <c r="C10" s="11" t="n">
        <v>2500</v>
      </c>
      <c r="D10" s="12" t="n">
        <v>1</v>
      </c>
      <c r="E10" s="13" t="n">
        <f aca="false">C10*D10</f>
        <v>2500</v>
      </c>
    </row>
    <row r="11" customFormat="false" ht="15" hidden="false" customHeight="false" outlineLevel="0" collapsed="false">
      <c r="A11" s="9" t="s">
        <v>29</v>
      </c>
      <c r="B11" s="10" t="s">
        <v>30</v>
      </c>
      <c r="C11" s="11" t="n">
        <v>700</v>
      </c>
      <c r="D11" s="12" t="n">
        <v>1</v>
      </c>
      <c r="E11" s="13" t="n">
        <f aca="false">C11*D11</f>
        <v>700</v>
      </c>
    </row>
    <row r="12" customFormat="false" ht="15" hidden="false" customHeight="false" outlineLevel="0" collapsed="false">
      <c r="A12" s="9" t="s">
        <v>31</v>
      </c>
      <c r="B12" s="10" t="s">
        <v>32</v>
      </c>
      <c r="C12" s="11" t="n">
        <v>500</v>
      </c>
      <c r="D12" s="12" t="n">
        <v>1</v>
      </c>
      <c r="E12" s="13" t="n">
        <f aca="false">C12*D12</f>
        <v>500</v>
      </c>
    </row>
    <row r="13" customFormat="false" ht="15" hidden="false" customHeight="false" outlineLevel="0" collapsed="false">
      <c r="A13" s="9" t="s">
        <v>33</v>
      </c>
      <c r="B13" s="10" t="s">
        <v>34</v>
      </c>
      <c r="C13" s="11" t="n">
        <v>300</v>
      </c>
      <c r="D13" s="12" t="n">
        <v>1</v>
      </c>
      <c r="E13" s="13" t="n">
        <f aca="false">C13*D13</f>
        <v>300</v>
      </c>
    </row>
    <row r="14" customFormat="false" ht="15" hidden="false" customHeight="false" outlineLevel="0" collapsed="false">
      <c r="A14" s="9" t="s">
        <v>35</v>
      </c>
      <c r="B14" s="10" t="s">
        <v>36</v>
      </c>
      <c r="C14" s="11" t="n">
        <v>0</v>
      </c>
      <c r="D14" s="12" t="n">
        <v>1</v>
      </c>
      <c r="E14" s="13" t="n">
        <f aca="false">C14*D14</f>
        <v>0</v>
      </c>
    </row>
    <row r="15" customFormat="false" ht="15" hidden="false" customHeight="false" outlineLevel="0" collapsed="false">
      <c r="A15" s="9" t="s">
        <v>37</v>
      </c>
      <c r="B15" s="10" t="s">
        <v>38</v>
      </c>
      <c r="C15" s="11" t="n">
        <v>0</v>
      </c>
      <c r="D15" s="12" t="n">
        <v>1</v>
      </c>
      <c r="E15" s="13" t="n">
        <f aca="false">C15*D15</f>
        <v>0</v>
      </c>
    </row>
    <row r="17" customFormat="false" ht="15" hidden="false" customHeight="false" outlineLevel="0" collapsed="false">
      <c r="A17" s="14" t="s">
        <v>39</v>
      </c>
      <c r="B17" s="15"/>
      <c r="C17" s="15"/>
      <c r="D17" s="15"/>
      <c r="E17" s="16" t="n">
        <f aca="false">SUM(E6:E8)+SUM(E10:E15)</f>
        <v>15500</v>
      </c>
    </row>
    <row r="18" customFormat="false" ht="15" hidden="false" customHeight="false" outlineLevel="0" collapsed="false">
      <c r="A18" s="2" t="s">
        <v>40</v>
      </c>
      <c r="E18" s="17" t="n">
        <v>25000</v>
      </c>
    </row>
    <row r="19" customFormat="false" ht="15" hidden="false" customHeight="false" outlineLevel="0" collapsed="false">
      <c r="A19" s="3" t="s">
        <v>41</v>
      </c>
      <c r="E19" s="18" t="n">
        <f aca="false">E18-E17</f>
        <v>9500</v>
      </c>
    </row>
    <row r="20" customFormat="false" ht="15" hidden="false" customHeight="false" outlineLevel="0" collapsed="false">
      <c r="A20" s="2" t="s">
        <v>42</v>
      </c>
      <c r="E20" s="19" t="n">
        <f aca="false">IF(E18=0,0,E19/E18)</f>
        <v>0.38</v>
      </c>
    </row>
    <row r="21" customFormat="false" ht="15" hidden="false" customHeight="false" outlineLevel="0" collapsed="false">
      <c r="A21" s="2" t="s">
        <v>43</v>
      </c>
      <c r="E21" s="20" t="n">
        <f aca="false">IF(E17=0,0,E18/E17)</f>
        <v>1.61290322580645</v>
      </c>
    </row>
    <row r="22" customFormat="false" ht="15" hidden="false" customHeight="false" outlineLevel="0" collapsed="false">
      <c r="A22" s="2" t="s">
        <v>44</v>
      </c>
      <c r="E22" s="21" t="n">
        <v>2</v>
      </c>
    </row>
    <row r="23" customFormat="false" ht="15" hidden="false" customHeight="false" outlineLevel="0" collapsed="false">
      <c r="A23" s="14" t="s">
        <v>45</v>
      </c>
      <c r="B23" s="15"/>
      <c r="C23" s="15"/>
      <c r="D23" s="15"/>
      <c r="E23" s="16" t="n">
        <f aca="false">ROUND(E17*E22,-3)</f>
        <v>31000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5" min="3" style="0" width="18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5" t="s">
        <v>13</v>
      </c>
    </row>
    <row r="4" customFormat="false" ht="15" hidden="false" customHeight="false" outlineLevel="0" collapsed="false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</row>
    <row r="5" customFormat="false" ht="15" hidden="false" customHeight="false" outlineLevel="0" collapsed="false">
      <c r="A5" s="7" t="s">
        <v>19</v>
      </c>
      <c r="B5" s="8"/>
      <c r="C5" s="8"/>
      <c r="D5" s="8"/>
      <c r="E5" s="8"/>
    </row>
    <row r="6" customFormat="false" ht="15" hidden="false" customHeight="false" outlineLevel="0" collapsed="false">
      <c r="A6" s="9" t="s">
        <v>54</v>
      </c>
      <c r="B6" s="10" t="s">
        <v>55</v>
      </c>
      <c r="C6" s="11" t="n">
        <v>15000</v>
      </c>
      <c r="D6" s="12" t="n">
        <v>1</v>
      </c>
      <c r="E6" s="13" t="n">
        <f aca="false">C6*D6</f>
        <v>15000</v>
      </c>
    </row>
    <row r="7" customFormat="false" ht="15" hidden="false" customHeight="false" outlineLevel="0" collapsed="false">
      <c r="A7" s="9" t="s">
        <v>56</v>
      </c>
      <c r="B7" s="10" t="s">
        <v>57</v>
      </c>
      <c r="C7" s="11" t="n">
        <v>6000</v>
      </c>
      <c r="D7" s="12" t="n">
        <v>1</v>
      </c>
      <c r="E7" s="13" t="n">
        <f aca="false">C7*D7</f>
        <v>6000</v>
      </c>
    </row>
    <row r="8" customFormat="false" ht="15" hidden="false" customHeight="false" outlineLevel="0" collapsed="false">
      <c r="A8" s="9" t="s">
        <v>58</v>
      </c>
      <c r="B8" s="10" t="s">
        <v>59</v>
      </c>
      <c r="C8" s="11" t="n">
        <v>5000</v>
      </c>
      <c r="D8" s="12" t="n">
        <v>1</v>
      </c>
      <c r="E8" s="13" t="n">
        <f aca="false">C8*D8</f>
        <v>5000</v>
      </c>
    </row>
    <row r="9" customFormat="false" ht="15" hidden="false" customHeight="false" outlineLevel="0" collapsed="false">
      <c r="A9" s="9" t="s">
        <v>60</v>
      </c>
      <c r="B9" s="10" t="s">
        <v>61</v>
      </c>
      <c r="C9" s="11" t="n">
        <v>4000</v>
      </c>
      <c r="D9" s="12" t="n">
        <v>1</v>
      </c>
      <c r="E9" s="13" t="n">
        <f aca="false">C9*D9</f>
        <v>4000</v>
      </c>
    </row>
    <row r="10" customFormat="false" ht="15" hidden="false" customHeight="false" outlineLevel="0" collapsed="false">
      <c r="A10" s="7" t="s">
        <v>26</v>
      </c>
      <c r="B10" s="8"/>
      <c r="C10" s="8"/>
      <c r="D10" s="8"/>
      <c r="E10" s="8"/>
    </row>
    <row r="11" customFormat="false" ht="15" hidden="false" customHeight="false" outlineLevel="0" collapsed="false">
      <c r="A11" s="9" t="s">
        <v>27</v>
      </c>
      <c r="B11" s="10" t="s">
        <v>28</v>
      </c>
      <c r="C11" s="11" t="n">
        <v>4000</v>
      </c>
      <c r="D11" s="12" t="n">
        <v>1</v>
      </c>
      <c r="E11" s="13" t="n">
        <f aca="false">C11*D11</f>
        <v>4000</v>
      </c>
    </row>
    <row r="12" customFormat="false" ht="15" hidden="false" customHeight="false" outlineLevel="0" collapsed="false">
      <c r="A12" s="9" t="s">
        <v>29</v>
      </c>
      <c r="B12" s="10" t="s">
        <v>30</v>
      </c>
      <c r="C12" s="11" t="n">
        <v>1000</v>
      </c>
      <c r="D12" s="12" t="n">
        <v>1</v>
      </c>
      <c r="E12" s="13" t="n">
        <f aca="false">C12*D12</f>
        <v>1000</v>
      </c>
    </row>
    <row r="13" customFormat="false" ht="15" hidden="false" customHeight="false" outlineLevel="0" collapsed="false">
      <c r="A13" s="9" t="s">
        <v>31</v>
      </c>
      <c r="B13" s="10" t="s">
        <v>32</v>
      </c>
      <c r="C13" s="11" t="n">
        <v>800</v>
      </c>
      <c r="D13" s="12" t="n">
        <v>1</v>
      </c>
      <c r="E13" s="13" t="n">
        <f aca="false">C13*D13</f>
        <v>800</v>
      </c>
    </row>
    <row r="14" customFormat="false" ht="15" hidden="false" customHeight="false" outlineLevel="0" collapsed="false">
      <c r="A14" s="9" t="s">
        <v>33</v>
      </c>
      <c r="B14" s="10" t="s">
        <v>34</v>
      </c>
      <c r="C14" s="11" t="n">
        <v>300</v>
      </c>
      <c r="D14" s="12" t="n">
        <v>1</v>
      </c>
      <c r="E14" s="13" t="n">
        <f aca="false">C14*D14</f>
        <v>300</v>
      </c>
    </row>
    <row r="15" customFormat="false" ht="15" hidden="false" customHeight="false" outlineLevel="0" collapsed="false">
      <c r="A15" s="9" t="s">
        <v>35</v>
      </c>
      <c r="B15" s="10" t="s">
        <v>36</v>
      </c>
      <c r="C15" s="11" t="n">
        <v>0</v>
      </c>
      <c r="D15" s="12" t="n">
        <v>1</v>
      </c>
      <c r="E15" s="13" t="n">
        <f aca="false">C15*D15</f>
        <v>0</v>
      </c>
    </row>
    <row r="16" customFormat="false" ht="15" hidden="false" customHeight="false" outlineLevel="0" collapsed="false">
      <c r="A16" s="9" t="s">
        <v>37</v>
      </c>
      <c r="B16" s="10" t="s">
        <v>38</v>
      </c>
      <c r="C16" s="11" t="n">
        <v>0</v>
      </c>
      <c r="D16" s="12" t="n">
        <v>1</v>
      </c>
      <c r="E16" s="13" t="n">
        <f aca="false">C16*D16</f>
        <v>0</v>
      </c>
    </row>
    <row r="18" customFormat="false" ht="15" hidden="false" customHeight="false" outlineLevel="0" collapsed="false">
      <c r="A18" s="14" t="s">
        <v>39</v>
      </c>
      <c r="B18" s="15"/>
      <c r="C18" s="15"/>
      <c r="D18" s="15"/>
      <c r="E18" s="16" t="n">
        <f aca="false">SUM(E6:E9)+SUM(E11:E16)</f>
        <v>36100</v>
      </c>
    </row>
    <row r="19" customFormat="false" ht="15" hidden="false" customHeight="false" outlineLevel="0" collapsed="false">
      <c r="A19" s="2" t="s">
        <v>40</v>
      </c>
      <c r="E19" s="17" t="n">
        <v>45000</v>
      </c>
    </row>
    <row r="20" customFormat="false" ht="15" hidden="false" customHeight="false" outlineLevel="0" collapsed="false">
      <c r="A20" s="3" t="s">
        <v>41</v>
      </c>
      <c r="E20" s="18" t="n">
        <f aca="false">E19-E18</f>
        <v>8900</v>
      </c>
    </row>
    <row r="21" customFormat="false" ht="15" hidden="false" customHeight="false" outlineLevel="0" collapsed="false">
      <c r="A21" s="2" t="s">
        <v>42</v>
      </c>
      <c r="E21" s="19" t="n">
        <f aca="false">IF(E19=0,0,E20/E19)</f>
        <v>0.197777777777778</v>
      </c>
    </row>
    <row r="22" customFormat="false" ht="15" hidden="false" customHeight="false" outlineLevel="0" collapsed="false">
      <c r="A22" s="2" t="s">
        <v>43</v>
      </c>
      <c r="E22" s="20" t="n">
        <f aca="false">IF(E18=0,0,E19/E18)</f>
        <v>1.24653739612188</v>
      </c>
    </row>
    <row r="23" customFormat="false" ht="15" hidden="false" customHeight="false" outlineLevel="0" collapsed="false">
      <c r="A23" s="2" t="s">
        <v>44</v>
      </c>
      <c r="E23" s="21" t="n">
        <v>2</v>
      </c>
    </row>
    <row r="24" customFormat="false" ht="15" hidden="false" customHeight="false" outlineLevel="0" collapsed="false">
      <c r="A24" s="14" t="s">
        <v>45</v>
      </c>
      <c r="B24" s="15"/>
      <c r="C24" s="15"/>
      <c r="D24" s="15"/>
      <c r="E24" s="16" t="n">
        <f aca="false">ROUND(E18*E23,-3)</f>
        <v>72000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7"/>
  </cols>
  <sheetData>
    <row r="1" customFormat="false" ht="19.7" hidden="false" customHeight="false" outlineLevel="0" collapsed="false">
      <c r="A1" s="1" t="s">
        <v>62</v>
      </c>
    </row>
    <row r="3" customFormat="false" ht="31.5" hidden="false" customHeight="true" outlineLevel="0" collapsed="false">
      <c r="A3" s="22" t="s">
        <v>63</v>
      </c>
      <c r="B3" s="22" t="s">
        <v>64</v>
      </c>
      <c r="C3" s="22" t="s">
        <v>40</v>
      </c>
      <c r="D3" s="22" t="s">
        <v>65</v>
      </c>
      <c r="E3" s="22" t="s">
        <v>66</v>
      </c>
      <c r="F3" s="22" t="s">
        <v>67</v>
      </c>
      <c r="G3" s="22" t="s">
        <v>68</v>
      </c>
      <c r="H3" s="22" t="s">
        <v>69</v>
      </c>
    </row>
    <row r="4" customFormat="false" ht="15" hidden="false" customHeight="false" outlineLevel="0" collapsed="false">
      <c r="A4" s="9" t="s">
        <v>70</v>
      </c>
      <c r="B4" s="23" t="n">
        <f aca="false">'Petite Attention'!E17</f>
        <v>9100</v>
      </c>
      <c r="C4" s="23" t="n">
        <f aca="false">'Petite Attention'!E18</f>
        <v>15000</v>
      </c>
      <c r="D4" s="23" t="n">
        <f aca="false">'Petite Attention'!E19</f>
        <v>5900</v>
      </c>
      <c r="E4" s="12" t="n">
        <v>10</v>
      </c>
      <c r="F4" s="13" t="n">
        <f aca="false">B4*E4</f>
        <v>91000</v>
      </c>
      <c r="G4" s="13" t="n">
        <f aca="false">C4*E4</f>
        <v>150000</v>
      </c>
      <c r="H4" s="13" t="n">
        <f aca="false">D4*E4</f>
        <v>59000</v>
      </c>
    </row>
    <row r="5" customFormat="false" ht="15" hidden="false" customHeight="false" outlineLevel="0" collapsed="false">
      <c r="A5" s="9" t="s">
        <v>71</v>
      </c>
      <c r="B5" s="23" t="n">
        <f aca="false">'Coffret Amour'!E17</f>
        <v>15500</v>
      </c>
      <c r="C5" s="23" t="n">
        <f aca="false">'Coffret Amour'!E18</f>
        <v>25000</v>
      </c>
      <c r="D5" s="23" t="n">
        <f aca="false">'Coffret Amour'!E19</f>
        <v>9500</v>
      </c>
      <c r="E5" s="12" t="n">
        <v>10</v>
      </c>
      <c r="F5" s="13" t="n">
        <f aca="false">B5*E5</f>
        <v>155000</v>
      </c>
      <c r="G5" s="13" t="n">
        <f aca="false">C5*E5</f>
        <v>250000</v>
      </c>
      <c r="H5" s="13" t="n">
        <f aca="false">D5*E5</f>
        <v>95000</v>
      </c>
    </row>
    <row r="6" customFormat="false" ht="15" hidden="false" customHeight="false" outlineLevel="0" collapsed="false">
      <c r="A6" s="9" t="s">
        <v>72</v>
      </c>
      <c r="B6" s="23" t="n">
        <f aca="false">'Coffret Prestige'!E18</f>
        <v>36100</v>
      </c>
      <c r="C6" s="23" t="n">
        <f aca="false">'Coffret Prestige'!E19</f>
        <v>45000</v>
      </c>
      <c r="D6" s="23" t="n">
        <f aca="false">'Coffret Prestige'!E20</f>
        <v>8900</v>
      </c>
      <c r="E6" s="12" t="n">
        <v>10</v>
      </c>
      <c r="F6" s="13" t="n">
        <f aca="false">B6*E6</f>
        <v>361000</v>
      </c>
      <c r="G6" s="13" t="n">
        <f aca="false">C6*E6</f>
        <v>450000</v>
      </c>
      <c r="H6" s="13" t="n">
        <f aca="false">D6*E6</f>
        <v>89000</v>
      </c>
    </row>
    <row r="7" customFormat="false" ht="15" hidden="false" customHeight="false" outlineLevel="0" collapsed="false">
      <c r="A7" s="14" t="s">
        <v>18</v>
      </c>
      <c r="E7" s="24" t="n">
        <f aca="false">SUM(E4:E6)</f>
        <v>30</v>
      </c>
      <c r="F7" s="25" t="n">
        <f aca="false">SUM(F4:F6)</f>
        <v>607000</v>
      </c>
      <c r="G7" s="25" t="n">
        <f aca="false">SUM(G4:G6)</f>
        <v>850000</v>
      </c>
      <c r="H7" s="25" t="n">
        <f aca="false">SUM(H4:H6)</f>
        <v>243000</v>
      </c>
    </row>
    <row r="9" customFormat="false" ht="15" hidden="false" customHeight="false" outlineLevel="0" collapsed="false">
      <c r="A9" s="26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2026-10-10T09:06:14Z</dcterms:created>
  <dc:creator>openpyxl</dc:creator>
  <dc:description/>
  <dc:language>en-US</dc:language>
  <cp:lastModifiedBy/>
  <dcterms:modified xsi:type="dcterms:W3CDTF">2026-10-10T09:06:14Z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